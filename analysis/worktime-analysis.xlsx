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2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hji\data\claude\worktime-tracker\analysis\"/>
    </mc:Choice>
  </mc:AlternateContent>
  <xr:revisionPtr revIDLastSave="0" documentId="8_{2CC3629E-A639-4640-8983-306B446B64C9}" xr6:coauthVersionLast="47" xr6:coauthVersionMax="47" xr10:uidLastSave="{00000000-0000-0000-0000-000000000000}"/>
  <bookViews>
    <workbookView xWindow="-110" yWindow="-110" windowWidth="21820" windowHeight="13900" activeTab="1" xr2:uid="{23F1AACD-68F4-4CC1-A695-1FA6A87EDDC8}"/>
  </bookViews>
  <sheets>
    <sheet name="Dashboard" sheetId="7" r:id="rId1"/>
    <sheet name="Settings" sheetId="1" r:id="rId2"/>
    <sheet name="Members" sheetId="2" r:id="rId3"/>
    <sheet name="Projects" sheetId="3" r:id="rId4"/>
    <sheet name="Categories" sheetId="4" r:id="rId5"/>
    <sheet name="Entries" sheetId="5" r:id="rId6"/>
    <sheet name="EntriesEnriched" sheetId="6" r:id="rId7"/>
  </sheets>
  <definedNames>
    <definedName name="Query___Categories" localSheetId="4">Categories!$A$1:$B$8</definedName>
    <definedName name="Query___Entries" localSheetId="5">Entries!$A$1:$K$3</definedName>
    <definedName name="Query___EntriesEnriched" localSheetId="6">EntriesEnriched!$A$1:$T$3</definedName>
    <definedName name="Query___Members" localSheetId="2">Members!$A$1:$G$4</definedName>
    <definedName name="Query___Projects" localSheetId="3">Projects!$A$1:$I$4</definedName>
    <definedName name="スライサー_category_name">#N/A</definedName>
    <definedName name="スライサー_department">#N/A</definedName>
    <definedName name="スライサー_project_name">#N/A</definedName>
    <definedName name="スライサー_work_type">#N/A</definedName>
  </definedNames>
  <calcPr calcId="191029"/>
  <pivotCaches>
    <pivotCache cacheId="8" r:id="rId8"/>
    <pivotCache cacheId="1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94E7E5-4A3D-418E-8343-48B0EF9AC55B}" keepAlive="1" name="接続" type="5" refreshedVersion="8" saveData="1">
    <dbPr connection="Provider=Microsoft.Mashup.OleDb.1;Data Source=$Workbook$;Location=Members;Extended Properties=&quot;&quot;" command="SELECT * FROM [Members]"/>
  </connection>
  <connection id="2" xr16:uid="{5D50D2D8-0ABE-4FD1-9F70-461F29CF0C88}" keepAlive="1" name="接続1" type="5" refreshedVersion="8" saveData="1">
    <dbPr connection="Provider=Microsoft.Mashup.OleDb.1;Data Source=$Workbook$;Location=Projects;Extended Properties=&quot;&quot;" command="SELECT * FROM [Projects]"/>
  </connection>
  <connection id="3" xr16:uid="{25531ABA-6879-4E03-B499-058958FA2625}" keepAlive="1" name="接続2" type="5" refreshedVersion="8" saveData="1">
    <dbPr connection="Provider=Microsoft.Mashup.OleDb.1;Data Source=$Workbook$;Location=Categories;Extended Properties=&quot;&quot;" command="SELECT * FROM [Categories]"/>
  </connection>
  <connection id="4" xr16:uid="{0EF1193A-6893-49F8-8E18-68A3B9FB3256}" keepAlive="1" name="接続3" type="5" refreshedVersion="8" saveData="1">
    <dbPr connection="Provider=Microsoft.Mashup.OleDb.1;Data Source=$Workbook$;Location=Entries;Extended Properties=&quot;&quot;" command="SELECT * FROM [Entries]"/>
  </connection>
  <connection id="5" xr16:uid="{5210B327-F816-4413-B03D-AC2A96747181}" keepAlive="1" name="接続4" type="5" refreshedVersion="8" saveData="1">
    <dbPr connection="Provider=Microsoft.Mashup.OleDb.1;Data Source=$Workbook$;Location=EntriesEnriched;Extended Properties=&quot;&quot;" command="SELECT * FROM [EntriesEnriched]"/>
  </connection>
</connections>
</file>

<file path=xl/sharedStrings.xml><?xml version="1.0" encoding="utf-8"?>
<sst xmlns="http://schemas.openxmlformats.org/spreadsheetml/2006/main" count="182" uniqueCount="98">
  <si>
    <t>Name</t>
  </si>
  <si>
    <t>Value</t>
  </si>
  <si>
    <t>LocalStorePath</t>
  </si>
  <si>
    <t>C:\Users\kohji\AppData\Local\worktime-tracker\store</t>
  </si>
  <si>
    <t>使い方:</t>
  </si>
  <si>
    <t>1. B2 を WorkTime Tracker のローカル保管先に書き換え</t>
  </si>
  <si>
    <t>2. データ → すべて更新 (Ctrl+Alt+F5) を実行</t>
  </si>
  <si>
    <t>3. Dashboard シートでピボット/スライサー/グラフを確認</t>
  </si>
  <si>
    <t>※ 既定パス: %LOCALAPPDATA%\worktime-tracker\store</t>
  </si>
  <si>
    <t>id</t>
  </si>
  <si>
    <t>name</t>
  </si>
  <si>
    <t>company</t>
  </si>
  <si>
    <t>department</t>
  </si>
  <si>
    <t>rank</t>
  </si>
  <si>
    <t>role</t>
  </si>
  <si>
    <t>active</t>
  </si>
  <si>
    <t>E0001</t>
  </si>
  <si>
    <t>管理者一郎</t>
  </si>
  <si>
    <t>本社</t>
  </si>
  <si>
    <t>管理部</t>
  </si>
  <si>
    <t>管理職</t>
  </si>
  <si>
    <t>admin</t>
  </si>
  <si>
    <t>E1001</t>
  </si>
  <si>
    <t>山田太郎</t>
  </si>
  <si>
    <t>開発1課</t>
  </si>
  <si>
    <t>主任</t>
  </si>
  <si>
    <t>member</t>
  </si>
  <si>
    <t>E1002</t>
  </si>
  <si>
    <t>佐藤花子</t>
  </si>
  <si>
    <t>一般</t>
  </si>
  <si>
    <t>unit_code</t>
  </si>
  <si>
    <t>project_name</t>
  </si>
  <si>
    <t>unit_name</t>
  </si>
  <si>
    <t>target_system</t>
  </si>
  <si>
    <t>work_type</t>
  </si>
  <si>
    <t>period_from</t>
  </si>
  <si>
    <t>period_to</t>
  </si>
  <si>
    <t>task_pattern_id</t>
  </si>
  <si>
    <t>ABC001</t>
  </si>
  <si>
    <t>ABC案件</t>
  </si>
  <si>
    <t>ABC開発ユニット</t>
  </si>
  <si>
    <t>ABCシステム</t>
  </si>
  <si>
    <t>案件対応</t>
  </si>
  <si>
    <t>2026-04-01</t>
  </si>
  <si>
    <t>2027-03-31</t>
  </si>
  <si>
    <t>PAT_DEV</t>
  </si>
  <si>
    <t>XYZ002</t>
  </si>
  <si>
    <t>社内ツール改修</t>
  </si>
  <si>
    <t>社内ポータル運用ユニット</t>
  </si>
  <si>
    <t>社内ポータル</t>
  </si>
  <si>
    <t>維持運用</t>
  </si>
  <si>
    <t>PAT_MAINT</t>
  </si>
  <si>
    <t>MISC</t>
  </si>
  <si>
    <t>その他社内活動</t>
  </si>
  <si>
    <t>全社共通</t>
  </si>
  <si>
    <t>-</t>
  </si>
  <si>
    <t>その他</t>
  </si>
  <si>
    <t>code</t>
  </si>
  <si>
    <t>DESIGN</t>
  </si>
  <si>
    <t>設計</t>
  </si>
  <si>
    <t>IMPL</t>
  </si>
  <si>
    <t>実装</t>
  </si>
  <si>
    <t>TEST</t>
  </si>
  <si>
    <t>テスト</t>
  </si>
  <si>
    <t>REVIEW</t>
  </si>
  <si>
    <t>レビュー</t>
  </si>
  <si>
    <t>MEETING</t>
  </si>
  <si>
    <t>会議</t>
  </si>
  <si>
    <t>DOC</t>
  </si>
  <si>
    <t>ドキュメント作成</t>
  </si>
  <si>
    <t>OTHER</t>
  </si>
  <si>
    <t>member_id</t>
  </si>
  <si>
    <t>date</t>
  </si>
  <si>
    <t>project_code</t>
  </si>
  <si>
    <t>process_code</t>
  </si>
  <si>
    <t>task_group_code</t>
  </si>
  <si>
    <t>task_code</t>
  </si>
  <si>
    <t>category</t>
  </si>
  <si>
    <t>hours</t>
  </si>
  <si>
    <t>comment</t>
  </si>
  <si>
    <t>updated_at</t>
  </si>
  <si>
    <t>year_month</t>
  </si>
  <si>
    <t>DB</t>
  </si>
  <si>
    <t>ERD</t>
  </si>
  <si>
    <t>ER図作成</t>
  </si>
  <si>
    <t>2026-05-19T00:00:00Z</t>
  </si>
  <si>
    <t>2026-05</t>
  </si>
  <si>
    <t>BE</t>
  </si>
  <si>
    <t>AUTH</t>
  </si>
  <si>
    <t>auth実装</t>
  </si>
  <si>
    <t>member_name</t>
  </si>
  <si>
    <t>category_name</t>
  </si>
  <si>
    <t>メンバー別 月次工数</t>
  </si>
  <si>
    <t>行ラベル</t>
  </si>
  <si>
    <t>総計</t>
  </si>
  <si>
    <t>列ラベル</t>
  </si>
  <si>
    <t>合計工数</t>
  </si>
  <si>
    <t>プロジェクト別 合計工数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</si>
</sst>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80808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1">
    <cellStyle name="標準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[worktime-analysis.xlsx]Dashboard!PT_Member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ja-JP" altLang="en-US"/>
              <a:t>メンバー </a:t>
            </a:r>
            <a:r>
              <a:rPr lang="en-US" altLang="ja-JP"/>
              <a:t>× </a:t>
            </a:r>
            <a:r>
              <a:rPr lang="ja-JP" altLang="en-US"/>
              <a:t>年月 工数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Dashboard!$B$3:$B$4</c:f>
              <c:strCache>
                <c:ptCount val="1"/>
                <c:pt idx="0">
                  <c:v>2026-05</c:v>
                </c:pt>
              </c:strCache>
            </c:strRef>
          </c:tx>
          <c:invertIfNegative val="0"/>
          <c:cat>
            <c:strRef>
              <c:f>Dashboard!$A$5:$A$6</c:f>
              <c:strCache>
                <c:ptCount val="1"/>
                <c:pt idx="0">
                  <c:v>山田太郎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3F-4BB6-BAEC-43E73DDE0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5257887"/>
        <c:axId val="1235247327"/>
      </c:barChart>
      <c:catAx>
        <c:axId val="1235257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5247327"/>
        <c:crosses val="autoZero"/>
        <c:auto val="1"/>
        <c:lblAlgn val="ctr"/>
        <c:lblOffset val="100"/>
        <c:noMultiLvlLbl val="0"/>
      </c:catAx>
      <c:valAx>
        <c:axId val="12352473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52578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[worktime-analysis.xlsx]Dashboard!PT_Project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ja-JP" altLang="en-US"/>
              <a:t>プロジェクト別 工数構成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集計</c:v>
                </c:pt>
              </c:strCache>
            </c:strRef>
          </c:tx>
          <c:cat>
            <c:multiLvlStrRef>
              <c:f>Dashboard!$A$25:$A$27</c:f>
              <c:multiLvlStrCache>
                <c:ptCount val="1"/>
                <c:lvl>
                  <c:pt idx="0">
                    <c:v>案件対応</c:v>
                  </c:pt>
                </c:lvl>
                <c:lvl>
                  <c:pt idx="0">
                    <c:v>ABC案件</c:v>
                  </c:pt>
                </c:lvl>
              </c:multiLvlStrCache>
            </c:multiLvlStrRef>
          </c:cat>
          <c:val>
            <c:numRef>
              <c:f>Dashboard!$B$25:$B$27</c:f>
              <c:numCache>
                <c:formatCode>General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F3-4B8A-B50E-C2C8E3A8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444500</xdr:colOff>
      <xdr:row>5</xdr:row>
      <xdr:rowOff>69850</xdr:rowOff>
    </xdr:from>
    <xdr:to>
      <xdr:col>10</xdr:col>
      <xdr:colOff>342900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L_Project">
              <a:extLst>
                <a:ext uri="{FF2B5EF4-FFF2-40B4-BE49-F238E27FC236}">
                  <a16:creationId xmlns:a16="http://schemas.microsoft.com/office/drawing/2014/main" id="{8CCF21C5-6DD3-35E1-E798-F2FED25E2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Proje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1270000"/>
              <a:ext cx="254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469900</xdr:colOff>
      <xdr:row>5</xdr:row>
      <xdr:rowOff>69850</xdr:rowOff>
    </xdr:from>
    <xdr:to>
      <xdr:col>14</xdr:col>
      <xdr:colOff>368300</xdr:colOff>
      <xdr:row>16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L_Category">
              <a:extLst>
                <a:ext uri="{FF2B5EF4-FFF2-40B4-BE49-F238E27FC236}">
                  <a16:creationId xmlns:a16="http://schemas.microsoft.com/office/drawing/2014/main" id="{F521B275-862D-AF9B-5592-84A333F743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5650" y="1270000"/>
              <a:ext cx="254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444500</xdr:colOff>
      <xdr:row>17</xdr:row>
      <xdr:rowOff>120650</xdr:rowOff>
    </xdr:from>
    <xdr:to>
      <xdr:col>10</xdr:col>
      <xdr:colOff>342900</xdr:colOff>
      <xdr:row>28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L_WorkType">
              <a:extLst>
                <a:ext uri="{FF2B5EF4-FFF2-40B4-BE49-F238E27FC236}">
                  <a16:creationId xmlns:a16="http://schemas.microsoft.com/office/drawing/2014/main" id="{F4C0DB6D-81BB-31E0-2596-E33F1F1B73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Work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38650" y="4064000"/>
              <a:ext cx="254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469900</xdr:colOff>
      <xdr:row>17</xdr:row>
      <xdr:rowOff>120650</xdr:rowOff>
    </xdr:from>
    <xdr:to>
      <xdr:col>14</xdr:col>
      <xdr:colOff>368300</xdr:colOff>
      <xdr:row>28</xdr:row>
      <xdr:rowOff>88900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L_Department">
              <a:extLst>
                <a:ext uri="{FF2B5EF4-FFF2-40B4-BE49-F238E27FC236}">
                  <a16:creationId xmlns:a16="http://schemas.microsoft.com/office/drawing/2014/main" id="{0215AF04-1A9E-5724-BD91-7C74FAFF7B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L_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5650" y="4064000"/>
              <a:ext cx="2540000" cy="254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10</xdr:col>
      <xdr:colOff>215900</xdr:colOff>
      <xdr:row>2</xdr:row>
      <xdr:rowOff>120650</xdr:rowOff>
    </xdr:from>
    <xdr:to>
      <xdr:col>19</xdr:col>
      <xdr:colOff>368300</xdr:colOff>
      <xdr:row>18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3FAC0F7-A76F-BD52-4E67-765F9CA91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222250</xdr:colOff>
      <xdr:row>19</xdr:row>
      <xdr:rowOff>171450</xdr:rowOff>
    </xdr:from>
    <xdr:to>
      <xdr:col>19</xdr:col>
      <xdr:colOff>374650</xdr:colOff>
      <xdr:row>35</xdr:row>
      <xdr:rowOff>12700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1032C33-E819-B17B-39B0-538FDA7F6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hji" refreshedDate="46161.801532175923" createdVersion="3" refreshedVersion="8" minRefreshableVersion="3" recordCount="2" xr:uid="{67F8F8AF-63CE-4FE3-961F-45A7247469BB}">
  <cacheSource type="worksheet">
    <worksheetSource name="EntriesEnrichedTable"/>
  </cacheSource>
  <cacheFields count="20">
    <cacheField name="member_id" numFmtId="0">
      <sharedItems/>
    </cacheField>
    <cacheField name="date" numFmtId="14">
      <sharedItems containsSemiMixedTypes="0" containsNonDate="0" containsDate="1" containsString="0" minDate="2026-05-15T00:00:00" maxDate="2026-05-17T00:00:00"/>
    </cacheField>
    <cacheField name="project_code" numFmtId="0">
      <sharedItems/>
    </cacheField>
    <cacheField name="process_code" numFmtId="0">
      <sharedItems/>
    </cacheField>
    <cacheField name="task_group_code" numFmtId="0">
      <sharedItems/>
    </cacheField>
    <cacheField name="task_code" numFmtId="0">
      <sharedItems/>
    </cacheField>
    <cacheField name="category" numFmtId="0">
      <sharedItems/>
    </cacheField>
    <cacheField name="hours" numFmtId="0">
      <sharedItems containsSemiMixedTypes="0" containsString="0" containsNumber="1" minValue="2.5" maxValue="4"/>
    </cacheField>
    <cacheField name="comment" numFmtId="0">
      <sharedItems/>
    </cacheField>
    <cacheField name="updated_at" numFmtId="0">
      <sharedItems/>
    </cacheField>
    <cacheField name="year_month" numFmtId="0">
      <sharedItems count="1">
        <s v="2026-05"/>
      </sharedItems>
    </cacheField>
    <cacheField name="member_name" numFmtId="0">
      <sharedItems count="1">
        <s v="山田太郎"/>
      </sharedItems>
    </cacheField>
    <cacheField name="company" numFmtId="0">
      <sharedItems/>
    </cacheField>
    <cacheField name="department" numFmtId="0">
      <sharedItems count="1">
        <s v="開発1課"/>
      </sharedItems>
    </cacheField>
    <cacheField name="rank" numFmtId="0">
      <sharedItems/>
    </cacheField>
    <cacheField name="project_name" numFmtId="0">
      <sharedItems count="1">
        <s v="ABC案件"/>
      </sharedItems>
    </cacheField>
    <cacheField name="unit_name" numFmtId="0">
      <sharedItems/>
    </cacheField>
    <cacheField name="work_type" numFmtId="0">
      <sharedItems count="1">
        <s v="案件対応"/>
      </sharedItems>
    </cacheField>
    <cacheField name="target_system" numFmtId="0">
      <sharedItems/>
    </cacheField>
    <cacheField name="category_name" numFmtId="0">
      <sharedItems count="2">
        <s v="設計"/>
        <s v="実装"/>
      </sharedItems>
    </cacheField>
  </cacheFields>
  <extLst>
    <ext xmlns:x14="http://schemas.microsoft.com/office/spreadsheetml/2009/9/main" uri="{725AE2AE-9491-48be-B2B4-4EB974FC3084}">
      <x14:pivotCacheDefinition pivotCacheId="150683203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hji" refreshedDate="46161.801566550923" createdVersion="3" refreshedVersion="8" minRefreshableVersion="3" recordCount="2" xr:uid="{D273A866-A12B-4E60-9FB9-09D543E2A391}">
  <cacheSource type="worksheet">
    <worksheetSource name="EntriesEnrichedTable"/>
  </cacheSource>
  <cacheFields count="20">
    <cacheField name="member_id" numFmtId="0">
      <sharedItems/>
    </cacheField>
    <cacheField name="date" numFmtId="14">
      <sharedItems containsSemiMixedTypes="0" containsNonDate="0" containsDate="1" containsString="0" minDate="2026-05-15T00:00:00" maxDate="2026-05-17T00:00:00"/>
    </cacheField>
    <cacheField name="project_code" numFmtId="0">
      <sharedItems/>
    </cacheField>
    <cacheField name="process_code" numFmtId="0">
      <sharedItems/>
    </cacheField>
    <cacheField name="task_group_code" numFmtId="0">
      <sharedItems/>
    </cacheField>
    <cacheField name="task_code" numFmtId="0">
      <sharedItems/>
    </cacheField>
    <cacheField name="category" numFmtId="0">
      <sharedItems/>
    </cacheField>
    <cacheField name="hours" numFmtId="0">
      <sharedItems containsSemiMixedTypes="0" containsString="0" containsNumber="1" minValue="2.5" maxValue="4"/>
    </cacheField>
    <cacheField name="comment" numFmtId="0">
      <sharedItems/>
    </cacheField>
    <cacheField name="updated_at" numFmtId="0">
      <sharedItems/>
    </cacheField>
    <cacheField name="year_month" numFmtId="0">
      <sharedItems/>
    </cacheField>
    <cacheField name="member_name" numFmtId="0">
      <sharedItems/>
    </cacheField>
    <cacheField name="company" numFmtId="0">
      <sharedItems/>
    </cacheField>
    <cacheField name="department" numFmtId="0">
      <sharedItems/>
    </cacheField>
    <cacheField name="rank" numFmtId="0">
      <sharedItems/>
    </cacheField>
    <cacheField name="project_name" numFmtId="0">
      <sharedItems count="1">
        <s v="ABC案件"/>
      </sharedItems>
    </cacheField>
    <cacheField name="unit_name" numFmtId="0">
      <sharedItems/>
    </cacheField>
    <cacheField name="work_type" numFmtId="0">
      <sharedItems count="1">
        <s v="案件対応"/>
      </sharedItems>
    </cacheField>
    <cacheField name="target_system" numFmtId="0">
      <sharedItems/>
    </cacheField>
    <cacheField name="categor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E1001"/>
    <d v="2026-05-15T00:00:00"/>
    <s v="ABC001"/>
    <s v="DESIGN"/>
    <s v="DB"/>
    <s v="ERD"/>
    <s v="DESIGN"/>
    <n v="4"/>
    <s v="ER図作成"/>
    <s v="2026-05-19T00:00:00Z"/>
    <x v="0"/>
    <x v="0"/>
    <s v="本社"/>
    <x v="0"/>
    <s v="主任"/>
    <x v="0"/>
    <s v="ABC開発ユニット"/>
    <x v="0"/>
    <s v="ABCシステム"/>
    <x v="0"/>
  </r>
  <r>
    <s v="E1001"/>
    <d v="2026-05-16T00:00:00"/>
    <s v="ABC001"/>
    <s v="IMPL"/>
    <s v="BE"/>
    <s v="AUTH"/>
    <s v="IMPL"/>
    <n v="2.5"/>
    <s v="auth実装"/>
    <s v="2026-05-19T00:00:00Z"/>
    <x v="0"/>
    <x v="0"/>
    <s v="本社"/>
    <x v="0"/>
    <s v="主任"/>
    <x v="0"/>
    <s v="ABC開発ユニット"/>
    <x v="0"/>
    <s v="ABCシステム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E1001"/>
    <d v="2026-05-15T00:00:00"/>
    <s v="ABC001"/>
    <s v="DESIGN"/>
    <s v="DB"/>
    <s v="ERD"/>
    <s v="DESIGN"/>
    <n v="4"/>
    <s v="ER図作成"/>
    <s v="2026-05-19T00:00:00Z"/>
    <s v="2026-05"/>
    <s v="山田太郎"/>
    <s v="本社"/>
    <s v="開発1課"/>
    <s v="主任"/>
    <x v="0"/>
    <s v="ABC開発ユニット"/>
    <x v="0"/>
    <s v="ABCシステム"/>
    <s v="設計"/>
  </r>
  <r>
    <s v="E1001"/>
    <d v="2026-05-16T00:00:00"/>
    <s v="ABC001"/>
    <s v="IMPL"/>
    <s v="BE"/>
    <s v="AUTH"/>
    <s v="IMPL"/>
    <n v="2.5"/>
    <s v="auth実装"/>
    <s v="2026-05-19T00:00:00Z"/>
    <s v="2026-05"/>
    <s v="山田太郎"/>
    <s v="本社"/>
    <s v="開発1課"/>
    <s v="主任"/>
    <x v="0"/>
    <s v="ABC開発ユニット"/>
    <x v="0"/>
    <s v="ABCシステム"/>
    <s v="実装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4FB4B-D2BA-4564-8323-5F660E44BCBB}" name="PT_Project" cacheId="13" applyNumberFormats="0" applyBorderFormats="0" applyFontFormats="0" applyPatternFormats="0" applyAlignmentFormats="0" applyWidthHeightFormats="1" dataCaption="値" updatedVersion="8" minRefreshableVersion="3" showCalcMbrs="0" useAutoFormatting="1" itemPrintTitles="1" createdVersion="3" indent="0" outline="1" outlineData="1" multipleFieldFilters="0" chartFormat="1">
  <location ref="A24:B2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</pivotFields>
  <rowFields count="2">
    <field x="15"/>
    <field x="17"/>
  </rowFields>
  <rowItems count="3">
    <i>
      <x/>
    </i>
    <i r="1">
      <x/>
    </i>
    <i t="grand">
      <x/>
    </i>
  </rowItems>
  <colItems count="1">
    <i/>
  </colItems>
  <dataFields count="1">
    <dataField name="合計工数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B5210-D3D0-42BA-BD51-FDDE5986BDD9}" name="PT_Member" cacheId="8" applyNumberFormats="0" applyBorderFormats="0" applyFontFormats="0" applyPatternFormats="0" applyAlignmentFormats="0" applyWidthHeightFormats="1" dataCaption="値" updatedVersion="8" minRefreshableVersion="3" showCalcMbrs="0" useAutoFormatting="1" itemPrintTitles="1" createdVersion="3" indent="0" outline="1" outlineData="1" multipleFieldFilters="0" chartFormat="1">
  <location ref="A3:C6" firstHeaderRow="1" firstDataRow="2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11"/>
  </rowFields>
  <rowItems count="2">
    <i>
      <x/>
    </i>
    <i t="grand">
      <x/>
    </i>
  </rowItems>
  <colFields count="1">
    <field x="10"/>
  </colFields>
  <colItems count="2">
    <i>
      <x/>
    </i>
    <i t="grand">
      <x/>
    </i>
  </colItems>
  <dataFields count="1">
    <dataField name="合計工数" fld="7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Members" backgroundRefresh="0" connectionId="1" xr16:uid="{5FB9E672-E757-42A7-B37D-A33820CCF707}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id"/>
      <queryTableField id="2" name="name"/>
      <queryTableField id="3" name="company"/>
      <queryTableField id="4" name="department"/>
      <queryTableField id="5" name="rank"/>
      <queryTableField id="6" name="role"/>
      <queryTableField id="7" name="active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Projects" backgroundRefresh="0" connectionId="2" xr16:uid="{724FCF0E-8C91-4C89-9753-6B67477AE327}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unit_code"/>
      <queryTableField id="2" name="project_name"/>
      <queryTableField id="3" name="unit_name"/>
      <queryTableField id="4" name="target_system"/>
      <queryTableField id="5" name="work_type"/>
      <queryTableField id="6" name="period_from"/>
      <queryTableField id="7" name="period_to"/>
      <queryTableField id="8" name="task_pattern_id"/>
      <queryTableField id="9" name="active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Categories" backgroundRefresh="0" connectionId="3" xr16:uid="{68DF6BAC-BABD-4B92-B98F-DB8FD225B0B0}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code"/>
      <queryTableField id="2" name="name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Entries" backgroundRefresh="0" connectionId="4" xr16:uid="{2FCB6453-5BAF-4CD8-8C3E-5DFC4A22C25E}" autoFormatId="0" applyNumberFormats="0" applyBorderFormats="0" applyFontFormats="1" applyPatternFormats="1" applyAlignmentFormats="0" applyWidthHeightFormats="0">
  <queryTableRefresh preserveSortFilterLayout="0" nextId="12">
    <queryTableFields count="11">
      <queryTableField id="1" name="member_id"/>
      <queryTableField id="2" name="date"/>
      <queryTableField id="3" name="project_code"/>
      <queryTableField id="4" name="process_code"/>
      <queryTableField id="5" name="task_group_code"/>
      <queryTableField id="6" name="task_code"/>
      <queryTableField id="7" name="category"/>
      <queryTableField id="8" name="hours"/>
      <queryTableField id="9" name="comment"/>
      <queryTableField id="10" name="updated_at"/>
      <queryTableField id="11" name="year_month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- EntriesEnriched" backgroundRefresh="0" connectionId="5" xr16:uid="{7CA8EE97-A064-490A-ADEA-78F4465012EF}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member_id"/>
      <queryTableField id="2" name="date"/>
      <queryTableField id="3" name="project_code"/>
      <queryTableField id="4" name="process_code"/>
      <queryTableField id="5" name="task_group_code"/>
      <queryTableField id="6" name="task_code"/>
      <queryTableField id="7" name="category"/>
      <queryTableField id="8" name="hours"/>
      <queryTableField id="9" name="comment"/>
      <queryTableField id="10" name="updated_at"/>
      <queryTableField id="11" name="year_month"/>
      <queryTableField id="12" name="member_name"/>
      <queryTableField id="13" name="company"/>
      <queryTableField id="14" name="department"/>
      <queryTableField id="15" name="rank"/>
      <queryTableField id="16" name="project_name"/>
      <queryTableField id="17" name="unit_name"/>
      <queryTableField id="18" name="work_type"/>
      <queryTableField id="19" name="target_system"/>
      <queryTableField id="20" name="category_name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project_name" xr10:uid="{6CE59874-AF5D-4ECB-9102-3E3383B4F746}" sourceName="project_name">
  <pivotTables>
    <pivotTable tabId="7" name="PT_Member"/>
  </pivotTables>
  <data>
    <tabular pivotCacheId="1506832031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category_name" xr10:uid="{F04EF522-2479-4C3B-BB09-9154FBE2CA3C}" sourceName="category_name">
  <pivotTables>
    <pivotTable tabId="7" name="PT_Member"/>
  </pivotTables>
  <data>
    <tabular pivotCacheId="150683203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work_type" xr10:uid="{FFAD24C5-8D6F-41B6-9CFD-E02EB26D2A47}" sourceName="work_type">
  <pivotTables>
    <pivotTable tabId="7" name="PT_Member"/>
  </pivotTables>
  <data>
    <tabular pivotCacheId="1506832031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department" xr10:uid="{800635CB-3E0B-4F1A-B56E-485BE7F5EC80}" sourceName="department">
  <pivotTables>
    <pivotTable tabId="7" name="PT_Member"/>
  </pivotTables>
  <data>
    <tabular pivotCacheId="1506832031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L_Project" xr10:uid="{268826DB-A1BF-40E3-8F1E-F196A0CC144D}" cache="スライサー_project_name" caption="プロジェクト" rowHeight="251883"/>
  <slicer name="SL_Category" xr10:uid="{2938577E-1869-4670-BB57-1BBAF665BCAA}" cache="スライサー_category_name" caption="カテゴリ" rowHeight="251883"/>
  <slicer name="SL_WorkType" xr10:uid="{04D306F4-1808-48F9-982D-FA336B6F2BB1}" cache="スライサー_work_type" caption="業務種別" rowHeight="251883"/>
  <slicer name="SL_Department" xr10:uid="{FB2B2B42-811C-4164-9C6D-A84718632C1F}" cache="スライサー_department" caption="部署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17CC7-2EC1-462B-A7C4-CDAE21D26CA3}" name="tbl_Settings" displayName="tbl_Settings" ref="A1:B2" totalsRowShown="0">
  <autoFilter ref="A1:B2" xr:uid="{5A617CC7-2EC1-462B-A7C4-CDAE21D26CA3}"/>
  <tableColumns count="2">
    <tableColumn id="1" xr3:uid="{DEC8508E-E250-456B-93C4-6D137ADBB11C}" name="Name"/>
    <tableColumn id="2" xr3:uid="{BD7F08CC-C893-4FAC-B9CA-C72D748AA216}" name="Value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E63BF9-93B7-4CFB-9CAC-F3EB5DC171EF}" name="EntriesEnrichedTable" displayName="EntriesEnrichedTable" ref="A1:T3" totalsRowShown="0" headerRowDxfId="0">
  <autoFilter ref="A1:T3" xr:uid="{64E63BF9-93B7-4CFB-9CAC-F3EB5DC171EF}"/>
  <tableColumns count="20">
    <tableColumn id="1" xr3:uid="{08CC4CFA-5A2D-42FB-809E-379A706DA2BF}" name="member_id"/>
    <tableColumn id="2" xr3:uid="{4837871B-0312-4160-9788-A4CC8F98ADE1}" name="date" dataDxfId="1"/>
    <tableColumn id="3" xr3:uid="{E3FF2C37-7146-4BF7-9F63-9FD8E17EC06F}" name="project_code"/>
    <tableColumn id="4" xr3:uid="{9D6EF7B0-347F-45CD-B171-197D35EA9E49}" name="process_code"/>
    <tableColumn id="5" xr3:uid="{D5AEEAB7-EC50-44BF-8649-E684391325CE}" name="task_group_code"/>
    <tableColumn id="6" xr3:uid="{FF0840A2-01CA-4908-988C-42CD584BD466}" name="task_code"/>
    <tableColumn id="7" xr3:uid="{2836EC22-940E-467E-8694-E4DBBB3FBADE}" name="category"/>
    <tableColumn id="8" xr3:uid="{5A2C28FC-2BDA-490A-BC2E-EB88F3F5F640}" name="hours"/>
    <tableColumn id="9" xr3:uid="{EB439578-6661-421F-BAF4-FBF13E1522F5}" name="comment"/>
    <tableColumn id="10" xr3:uid="{EE9F52BE-3ACB-40B2-AA08-A4F191A80519}" name="updated_at"/>
    <tableColumn id="11" xr3:uid="{C159011C-C917-43C6-AF54-ADE332D2B500}" name="year_month"/>
    <tableColumn id="12" xr3:uid="{53AD4CE2-5A4F-42E9-AFCC-8FD60F123561}" name="member_name"/>
    <tableColumn id="13" xr3:uid="{AFCEAAF7-407A-4D79-BBC1-5D639FD84E7A}" name="company"/>
    <tableColumn id="14" xr3:uid="{581D9CF5-2679-4D87-97F2-265994837A70}" name="department"/>
    <tableColumn id="15" xr3:uid="{9DA59A69-02FF-426C-B78E-3865D3C94BA2}" name="rank"/>
    <tableColumn id="16" xr3:uid="{1DAEF7DF-440E-4721-AF94-62A6422C266E}" name="project_name"/>
    <tableColumn id="17" xr3:uid="{F33A2AB6-8EB0-4603-AB7D-3A8F2333773E}" name="unit_name"/>
    <tableColumn id="18" xr3:uid="{A77DC796-B28C-4F92-B3A8-357C0CFD4BE8}" name="work_type"/>
    <tableColumn id="19" xr3:uid="{7A79FC22-3B56-4A0B-8A83-52AF9C9744EC}" name="target_system"/>
    <tableColumn id="20" xr3:uid="{C1E26685-7E51-4C47-B754-C6B7E828CAD4}" name="category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0E3E-23D5-44DF-81BC-CC6B8705147A}">
  <dimension ref="A1:C27"/>
  <sheetViews>
    <sheetView workbookViewId="0"/>
  </sheetViews>
  <sheetFormatPr defaultRowHeight="18" x14ac:dyDescent="0.55000000000000004"/>
  <cols>
    <col min="1" max="1" width="12.75" bestFit="1" customWidth="1"/>
    <col min="2" max="2" width="8.6640625" bestFit="1" customWidth="1"/>
    <col min="3" max="3" width="5" bestFit="1" customWidth="1"/>
  </cols>
  <sheetData>
    <row r="1" spans="1:3" ht="22.5" x14ac:dyDescent="0.55000000000000004">
      <c r="A1" s="4" t="s">
        <v>92</v>
      </c>
    </row>
    <row r="3" spans="1:3" x14ac:dyDescent="0.55000000000000004">
      <c r="A3" s="5" t="s">
        <v>96</v>
      </c>
      <c r="B3" s="5" t="s">
        <v>95</v>
      </c>
    </row>
    <row r="4" spans="1:3" x14ac:dyDescent="0.55000000000000004">
      <c r="A4" s="5" t="s">
        <v>93</v>
      </c>
      <c r="B4" t="s">
        <v>86</v>
      </c>
      <c r="C4" t="s">
        <v>94</v>
      </c>
    </row>
    <row r="5" spans="1:3" x14ac:dyDescent="0.55000000000000004">
      <c r="A5" s="6" t="s">
        <v>23</v>
      </c>
      <c r="B5" s="7">
        <v>6.5</v>
      </c>
      <c r="C5" s="7">
        <v>6.5</v>
      </c>
    </row>
    <row r="6" spans="1:3" x14ac:dyDescent="0.55000000000000004">
      <c r="A6" s="6" t="s">
        <v>94</v>
      </c>
      <c r="B6" s="7">
        <v>6.5</v>
      </c>
      <c r="C6" s="7">
        <v>6.5</v>
      </c>
    </row>
    <row r="22" spans="1:2" ht="22.5" x14ac:dyDescent="0.55000000000000004">
      <c r="A22" s="4" t="s">
        <v>97</v>
      </c>
    </row>
    <row r="24" spans="1:2" x14ac:dyDescent="0.55000000000000004">
      <c r="A24" s="5" t="s">
        <v>93</v>
      </c>
      <c r="B24" t="s">
        <v>96</v>
      </c>
    </row>
    <row r="25" spans="1:2" x14ac:dyDescent="0.55000000000000004">
      <c r="A25" s="6" t="s">
        <v>39</v>
      </c>
      <c r="B25" s="7">
        <v>6.5</v>
      </c>
    </row>
    <row r="26" spans="1:2" x14ac:dyDescent="0.55000000000000004">
      <c r="A26" s="8" t="s">
        <v>42</v>
      </c>
      <c r="B26" s="7">
        <v>6.5</v>
      </c>
    </row>
    <row r="27" spans="1:2" x14ac:dyDescent="0.55000000000000004">
      <c r="A27" s="6" t="s">
        <v>94</v>
      </c>
      <c r="B27" s="7">
        <v>6.5</v>
      </c>
    </row>
  </sheetData>
  <phoneticPr fontId="3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269F-2D1B-4DD8-B9B6-EAF6DB62237B}">
  <dimension ref="A1:B9"/>
  <sheetViews>
    <sheetView tabSelected="1" workbookViewId="0"/>
  </sheetViews>
  <sheetFormatPr defaultRowHeight="18" x14ac:dyDescent="0.55000000000000004"/>
  <cols>
    <col min="1" max="1" width="22.58203125" customWidth="1"/>
    <col min="2" max="2" width="80.582031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3</v>
      </c>
    </row>
    <row r="4" spans="1:2" x14ac:dyDescent="0.55000000000000004">
      <c r="A4" s="1" t="s">
        <v>4</v>
      </c>
    </row>
    <row r="5" spans="1:2" x14ac:dyDescent="0.55000000000000004">
      <c r="A5" t="s">
        <v>5</v>
      </c>
    </row>
    <row r="6" spans="1:2" x14ac:dyDescent="0.55000000000000004">
      <c r="A6" t="s">
        <v>6</v>
      </c>
    </row>
    <row r="7" spans="1:2" x14ac:dyDescent="0.55000000000000004">
      <c r="A7" t="s">
        <v>7</v>
      </c>
    </row>
    <row r="9" spans="1:2" x14ac:dyDescent="0.55000000000000004">
      <c r="A9" s="2" t="s">
        <v>8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BA6F-6B20-4E46-AD5B-8E8CA9A08DCB}">
  <dimension ref="A1:G4"/>
  <sheetViews>
    <sheetView workbookViewId="0"/>
  </sheetViews>
  <sheetFormatPr defaultRowHeight="18" x14ac:dyDescent="0.55000000000000004"/>
  <cols>
    <col min="1" max="1" width="6.33203125" bestFit="1" customWidth="1"/>
    <col min="2" max="2" width="10.4140625" bestFit="1" customWidth="1"/>
    <col min="3" max="3" width="9.4140625" bestFit="1" customWidth="1"/>
    <col min="4" max="4" width="11.9140625" bestFit="1" customWidth="1"/>
    <col min="5" max="5" width="6.6640625" bestFit="1" customWidth="1"/>
    <col min="6" max="6" width="8.08203125" bestFit="1" customWidth="1"/>
    <col min="7" max="7" width="6.6640625" bestFit="1" customWidth="1"/>
  </cols>
  <sheetData>
    <row r="1" spans="1:7" x14ac:dyDescent="0.5500000000000000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5500000000000000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b">
        <v>1</v>
      </c>
    </row>
    <row r="3" spans="1:7" x14ac:dyDescent="0.55000000000000004">
      <c r="A3" t="s">
        <v>22</v>
      </c>
      <c r="B3" t="s">
        <v>23</v>
      </c>
      <c r="C3" t="s">
        <v>18</v>
      </c>
      <c r="D3" t="s">
        <v>24</v>
      </c>
      <c r="E3" t="s">
        <v>25</v>
      </c>
      <c r="F3" t="s">
        <v>26</v>
      </c>
      <c r="G3" t="b">
        <v>1</v>
      </c>
    </row>
    <row r="4" spans="1:7" x14ac:dyDescent="0.55000000000000004">
      <c r="A4" t="s">
        <v>27</v>
      </c>
      <c r="B4" t="s">
        <v>28</v>
      </c>
      <c r="C4" t="s">
        <v>18</v>
      </c>
      <c r="D4" t="s">
        <v>24</v>
      </c>
      <c r="E4" t="s">
        <v>29</v>
      </c>
      <c r="F4" t="s">
        <v>26</v>
      </c>
      <c r="G4" t="b">
        <v>1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F5AB-8996-4E36-80E4-433E5D147B22}">
  <dimension ref="A1:I4"/>
  <sheetViews>
    <sheetView workbookViewId="0"/>
  </sheetViews>
  <sheetFormatPr defaultRowHeight="18" x14ac:dyDescent="0.55000000000000004"/>
  <cols>
    <col min="1" max="1" width="10.08203125" bestFit="1" customWidth="1"/>
    <col min="2" max="2" width="14.33203125" bestFit="1" customWidth="1"/>
    <col min="3" max="3" width="24.08203125" bestFit="1" customWidth="1"/>
    <col min="4" max="4" width="14.33203125" bestFit="1" customWidth="1"/>
    <col min="5" max="5" width="10.58203125" bestFit="1" customWidth="1"/>
    <col min="6" max="6" width="12.25" bestFit="1" customWidth="1"/>
    <col min="7" max="7" width="10.9140625" bestFit="1" customWidth="1"/>
    <col min="8" max="8" width="15.58203125" bestFit="1" customWidth="1"/>
    <col min="9" max="9" width="6.6640625" bestFit="1" customWidth="1"/>
  </cols>
  <sheetData>
    <row r="1" spans="1:9" x14ac:dyDescent="0.55000000000000004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15</v>
      </c>
    </row>
    <row r="2" spans="1:9" x14ac:dyDescent="0.55000000000000004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b">
        <v>1</v>
      </c>
    </row>
    <row r="3" spans="1:9" x14ac:dyDescent="0.55000000000000004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43</v>
      </c>
      <c r="G3" t="s">
        <v>44</v>
      </c>
      <c r="H3" t="s">
        <v>51</v>
      </c>
      <c r="I3" t="b">
        <v>1</v>
      </c>
    </row>
    <row r="4" spans="1:9" x14ac:dyDescent="0.55000000000000004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43</v>
      </c>
      <c r="G4" t="s">
        <v>44</v>
      </c>
      <c r="H4" t="s">
        <v>51</v>
      </c>
      <c r="I4" t="b">
        <v>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8DDB-37F9-430A-988A-BD37B00399E7}">
  <dimension ref="A1:B8"/>
  <sheetViews>
    <sheetView workbookViewId="0"/>
  </sheetViews>
  <sheetFormatPr defaultRowHeight="18" x14ac:dyDescent="0.55000000000000004"/>
  <cols>
    <col min="1" max="1" width="9.5" bestFit="1" customWidth="1"/>
    <col min="2" max="2" width="16.25" bestFit="1" customWidth="1"/>
  </cols>
  <sheetData>
    <row r="1" spans="1:2" x14ac:dyDescent="0.55000000000000004">
      <c r="A1" s="1" t="s">
        <v>57</v>
      </c>
      <c r="B1" s="1" t="s">
        <v>10</v>
      </c>
    </row>
    <row r="2" spans="1:2" x14ac:dyDescent="0.55000000000000004">
      <c r="A2" t="s">
        <v>58</v>
      </c>
      <c r="B2" t="s">
        <v>59</v>
      </c>
    </row>
    <row r="3" spans="1:2" x14ac:dyDescent="0.55000000000000004">
      <c r="A3" t="s">
        <v>60</v>
      </c>
      <c r="B3" t="s">
        <v>61</v>
      </c>
    </row>
    <row r="4" spans="1:2" x14ac:dyDescent="0.55000000000000004">
      <c r="A4" t="s">
        <v>62</v>
      </c>
      <c r="B4" t="s">
        <v>63</v>
      </c>
    </row>
    <row r="5" spans="1:2" x14ac:dyDescent="0.55000000000000004">
      <c r="A5" t="s">
        <v>64</v>
      </c>
      <c r="B5" t="s">
        <v>65</v>
      </c>
    </row>
    <row r="6" spans="1:2" x14ac:dyDescent="0.55000000000000004">
      <c r="A6" t="s">
        <v>66</v>
      </c>
      <c r="B6" t="s">
        <v>67</v>
      </c>
    </row>
    <row r="7" spans="1:2" x14ac:dyDescent="0.55000000000000004">
      <c r="A7" t="s">
        <v>68</v>
      </c>
      <c r="B7" t="s">
        <v>69</v>
      </c>
    </row>
    <row r="8" spans="1:2" x14ac:dyDescent="0.55000000000000004">
      <c r="A8" t="s">
        <v>70</v>
      </c>
      <c r="B8" t="s">
        <v>56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AA5C-FC9D-47F1-86D4-22FAD1A85F57}">
  <dimension ref="A1:K3"/>
  <sheetViews>
    <sheetView workbookViewId="0"/>
  </sheetViews>
  <sheetFormatPr defaultRowHeight="18" x14ac:dyDescent="0.55000000000000004"/>
  <cols>
    <col min="1" max="1" width="11.33203125" bestFit="1" customWidth="1"/>
    <col min="2" max="2" width="10" bestFit="1" customWidth="1"/>
    <col min="3" max="3" width="13.08203125" bestFit="1" customWidth="1"/>
    <col min="4" max="4" width="13.83203125" bestFit="1" customWidth="1"/>
    <col min="5" max="5" width="17" bestFit="1" customWidth="1"/>
    <col min="6" max="6" width="10.4140625" bestFit="1" customWidth="1"/>
    <col min="7" max="7" width="9.08203125" bestFit="1" customWidth="1"/>
    <col min="8" max="8" width="6.5" bestFit="1" customWidth="1"/>
    <col min="9" max="9" width="9.6640625" bestFit="1" customWidth="1"/>
    <col min="10" max="10" width="20.9140625" bestFit="1" customWidth="1"/>
    <col min="11" max="11" width="12.08203125" bestFit="1" customWidth="1"/>
  </cols>
  <sheetData>
    <row r="1" spans="1:11" x14ac:dyDescent="0.55000000000000004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</row>
    <row r="2" spans="1:11" x14ac:dyDescent="0.55000000000000004">
      <c r="A2" t="s">
        <v>22</v>
      </c>
      <c r="B2" s="3">
        <v>46157</v>
      </c>
      <c r="C2" t="s">
        <v>38</v>
      </c>
      <c r="D2" t="s">
        <v>58</v>
      </c>
      <c r="E2" t="s">
        <v>82</v>
      </c>
      <c r="F2" t="s">
        <v>83</v>
      </c>
      <c r="G2" t="s">
        <v>58</v>
      </c>
      <c r="H2">
        <v>4</v>
      </c>
      <c r="I2" t="s">
        <v>84</v>
      </c>
      <c r="J2" t="s">
        <v>85</v>
      </c>
      <c r="K2" t="s">
        <v>86</v>
      </c>
    </row>
    <row r="3" spans="1:11" x14ac:dyDescent="0.55000000000000004">
      <c r="A3" t="s">
        <v>22</v>
      </c>
      <c r="B3" s="3">
        <v>46158</v>
      </c>
      <c r="C3" t="s">
        <v>38</v>
      </c>
      <c r="D3" t="s">
        <v>60</v>
      </c>
      <c r="E3" t="s">
        <v>87</v>
      </c>
      <c r="F3" t="s">
        <v>88</v>
      </c>
      <c r="G3" t="s">
        <v>60</v>
      </c>
      <c r="H3">
        <v>2.5</v>
      </c>
      <c r="I3" t="s">
        <v>89</v>
      </c>
      <c r="J3" t="s">
        <v>85</v>
      </c>
      <c r="K3" t="s">
        <v>86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4B9F-75BA-4708-9816-FF97ED07E085}">
  <dimension ref="A1:T3"/>
  <sheetViews>
    <sheetView workbookViewId="0"/>
  </sheetViews>
  <sheetFormatPr defaultRowHeight="18" x14ac:dyDescent="0.55000000000000004"/>
  <cols>
    <col min="1" max="1" width="12.5" customWidth="1"/>
    <col min="2" max="2" width="10" bestFit="1" customWidth="1"/>
    <col min="3" max="3" width="14.08203125" customWidth="1"/>
    <col min="4" max="4" width="14.83203125" customWidth="1"/>
    <col min="5" max="5" width="17.75" customWidth="1"/>
    <col min="6" max="6" width="11.6640625" customWidth="1"/>
    <col min="7" max="7" width="10.33203125" customWidth="1"/>
    <col min="8" max="8" width="7.75" customWidth="1"/>
    <col min="9" max="9" width="10.9140625" customWidth="1"/>
    <col min="10" max="10" width="20.9140625" bestFit="1" customWidth="1"/>
    <col min="11" max="11" width="13.1640625" customWidth="1"/>
    <col min="12" max="12" width="15.83203125" customWidth="1"/>
    <col min="13" max="13" width="10.6640625" customWidth="1"/>
    <col min="14" max="14" width="13" customWidth="1"/>
    <col min="15" max="15" width="6.6640625" customWidth="1"/>
    <col min="16" max="16" width="14.75" customWidth="1"/>
    <col min="17" max="17" width="16.25" bestFit="1" customWidth="1"/>
    <col min="18" max="18" width="11.75" customWidth="1"/>
    <col min="19" max="19" width="15.25" customWidth="1"/>
    <col min="20" max="20" width="16.25" customWidth="1"/>
  </cols>
  <sheetData>
    <row r="1" spans="1:20" x14ac:dyDescent="0.55000000000000004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90</v>
      </c>
      <c r="M1" s="1" t="s">
        <v>11</v>
      </c>
      <c r="N1" s="1" t="s">
        <v>12</v>
      </c>
      <c r="O1" s="1" t="s">
        <v>13</v>
      </c>
      <c r="P1" s="1" t="s">
        <v>31</v>
      </c>
      <c r="Q1" s="1" t="s">
        <v>32</v>
      </c>
      <c r="R1" s="1" t="s">
        <v>34</v>
      </c>
      <c r="S1" s="1" t="s">
        <v>33</v>
      </c>
      <c r="T1" s="1" t="s">
        <v>91</v>
      </c>
    </row>
    <row r="2" spans="1:20" x14ac:dyDescent="0.55000000000000004">
      <c r="A2" t="s">
        <v>22</v>
      </c>
      <c r="B2" s="3">
        <v>46157</v>
      </c>
      <c r="C2" t="s">
        <v>38</v>
      </c>
      <c r="D2" t="s">
        <v>58</v>
      </c>
      <c r="E2" t="s">
        <v>82</v>
      </c>
      <c r="F2" t="s">
        <v>83</v>
      </c>
      <c r="G2" t="s">
        <v>58</v>
      </c>
      <c r="H2">
        <v>4</v>
      </c>
      <c r="I2" t="s">
        <v>84</v>
      </c>
      <c r="J2" t="s">
        <v>85</v>
      </c>
      <c r="K2" t="s">
        <v>86</v>
      </c>
      <c r="L2" t="s">
        <v>23</v>
      </c>
      <c r="M2" t="s">
        <v>18</v>
      </c>
      <c r="N2" t="s">
        <v>24</v>
      </c>
      <c r="O2" t="s">
        <v>25</v>
      </c>
      <c r="P2" t="s">
        <v>39</v>
      </c>
      <c r="Q2" t="s">
        <v>40</v>
      </c>
      <c r="R2" t="s">
        <v>42</v>
      </c>
      <c r="S2" t="s">
        <v>41</v>
      </c>
      <c r="T2" t="s">
        <v>59</v>
      </c>
    </row>
    <row r="3" spans="1:20" x14ac:dyDescent="0.55000000000000004">
      <c r="A3" t="s">
        <v>22</v>
      </c>
      <c r="B3" s="3">
        <v>46158</v>
      </c>
      <c r="C3" t="s">
        <v>38</v>
      </c>
      <c r="D3" t="s">
        <v>60</v>
      </c>
      <c r="E3" t="s">
        <v>87</v>
      </c>
      <c r="F3" t="s">
        <v>88</v>
      </c>
      <c r="G3" t="s">
        <v>60</v>
      </c>
      <c r="H3">
        <v>2.5</v>
      </c>
      <c r="I3" t="s">
        <v>89</v>
      </c>
      <c r="J3" t="s">
        <v>85</v>
      </c>
      <c r="K3" t="s">
        <v>86</v>
      </c>
      <c r="L3" t="s">
        <v>23</v>
      </c>
      <c r="M3" t="s">
        <v>18</v>
      </c>
      <c r="N3" t="s">
        <v>24</v>
      </c>
      <c r="O3" t="s">
        <v>25</v>
      </c>
      <c r="P3" t="s">
        <v>39</v>
      </c>
      <c r="Q3" t="s">
        <v>40</v>
      </c>
      <c r="R3" t="s">
        <v>42</v>
      </c>
      <c r="S3" t="s">
        <v>41</v>
      </c>
      <c r="T3" t="s">
        <v>61</v>
      </c>
    </row>
  </sheetData>
  <phoneticPr fontId="3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9B4A0D-8045-4F95-A958-C2B71F0E6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Dashboard</vt:lpstr>
      <vt:lpstr>Settings</vt:lpstr>
      <vt:lpstr>Members</vt:lpstr>
      <vt:lpstr>Projects</vt:lpstr>
      <vt:lpstr>Categories</vt:lpstr>
      <vt:lpstr>Entries</vt:lpstr>
      <vt:lpstr>EntriesEnriched</vt:lpstr>
      <vt:lpstr>Categories!Query___Categories</vt:lpstr>
      <vt:lpstr>Entries!Query___Entries</vt:lpstr>
      <vt:lpstr>EntriesEnriched!Query___EntriesEnriched</vt:lpstr>
      <vt:lpstr>Members!Query___Members</vt:lpstr>
      <vt:lpstr>Projects!Query___Projects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kohji noritake</dc:creator>
  <cp:lastModifiedBy>kohji noritake</cp:lastModifiedBy>
  <dcterms:created xsi:type="dcterms:W3CDTF">2026-05-19T10:13:49Z</dcterms:created>
  <dcterms:modified xsi:type="dcterms:W3CDTF">2026-05-19T10:14:16Z</dcterms:modified>
</cp:coreProperties>
</file>